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isk Register" sheetId="1" r:id="rId5"/>
    <sheet state="visible" name="Lists" sheetId="2" r:id="rId6"/>
  </sheets>
  <definedNames/>
  <calcPr/>
</workbook>
</file>

<file path=xl/sharedStrings.xml><?xml version="1.0" encoding="utf-8"?>
<sst xmlns="http://schemas.openxmlformats.org/spreadsheetml/2006/main" count="159" uniqueCount="115">
  <si>
    <t>Likelihood</t>
  </si>
  <si>
    <t>Impact</t>
  </si>
  <si>
    <t>Risk Owner</t>
  </si>
  <si>
    <t>Treatment</t>
  </si>
  <si>
    <t>Status</t>
  </si>
  <si>
    <t>Risk Level</t>
  </si>
  <si>
    <t>Security &amp; Compliance Manager</t>
  </si>
  <si>
    <t>Mitigate</t>
  </si>
  <si>
    <t>Open</t>
  </si>
  <si>
    <t>Low</t>
  </si>
  <si>
    <t>IT Operations Manager</t>
  </si>
  <si>
    <t>Accept</t>
  </si>
  <si>
    <t>In Progress</t>
  </si>
  <si>
    <t>Medium</t>
  </si>
  <si>
    <t>Cloud Operations Manager</t>
  </si>
  <si>
    <t>Transfer</t>
  </si>
  <si>
    <t>Closed</t>
  </si>
  <si>
    <t>High</t>
  </si>
  <si>
    <t>Security Operations Manager</t>
  </si>
  <si>
    <t>Avoid</t>
  </si>
  <si>
    <t>Critical</t>
  </si>
  <si>
    <t>Head of Engineering</t>
  </si>
  <si>
    <t>Data Protection Officer</t>
  </si>
  <si>
    <t>Human Resources</t>
  </si>
  <si>
    <t>Finance</t>
  </si>
  <si>
    <t>Customer Success</t>
  </si>
  <si>
    <t>Marketing</t>
  </si>
  <si>
    <t>Executive Management</t>
  </si>
  <si>
    <t>NovaCloud Solutions – Risk Register</t>
  </si>
  <si>
    <t>Draft risk register for the NovaCloud GRC Readiness Assessment</t>
  </si>
  <si>
    <t>Project</t>
  </si>
  <si>
    <t>NovaCloud GRC Readiness Assessment</t>
  </si>
  <si>
    <t>Client</t>
  </si>
  <si>
    <t>NovaCloud Solutions</t>
  </si>
  <si>
    <t>Frameworks</t>
  </si>
  <si>
    <t>ISO/IEC 27001:2022; ENS</t>
  </si>
  <si>
    <t>Draft</t>
  </si>
  <si>
    <t>Risk ID</t>
  </si>
  <si>
    <t>Risk Description</t>
  </si>
  <si>
    <t>Asset</t>
  </si>
  <si>
    <t>Threat</t>
  </si>
  <si>
    <t>Vulnerability / Weakness</t>
  </si>
  <si>
    <t>Existing Controls</t>
  </si>
  <si>
    <t>Inherent Risk</t>
  </si>
  <si>
    <t>Residual Risk</t>
  </si>
  <si>
    <t>NCS-R-001</t>
  </si>
  <si>
    <t>Unauthorized access to customer and personal data through compromised user credentials.</t>
  </si>
  <si>
    <t>NCS-A-001 / NCS-A-002</t>
  </si>
  <si>
    <t>Credential compromise or account takeover</t>
  </si>
  <si>
    <t>Incomplete or inconsistent access review and privileged access documentation</t>
  </si>
  <si>
    <t>MFA; RBAC; Conditional Access; periodic access reviews</t>
  </si>
  <si>
    <t>NCS-R-002</t>
  </si>
  <si>
    <t>Excessive privileges may allow unauthorized access to sensitive systems or information.</t>
  </si>
  <si>
    <t>NCS-A-004</t>
  </si>
  <si>
    <t>Privilege misuse or compromised privileged account</t>
  </si>
  <si>
    <t>Privileged role assignments are not consistently documented and reviewed</t>
  </si>
  <si>
    <t>RBAC; MFA; privileged access restrictions; PIM where appropriate</t>
  </si>
  <si>
    <t>NCS-R-003</t>
  </si>
  <si>
    <t>Loss or corruption of customer documents could affect service availability and data integrity.</t>
  </si>
  <si>
    <t>NCS-A-006</t>
  </si>
  <si>
    <t>Data deletion, corruption or storage failure</t>
  </si>
  <si>
    <t>Backup and recovery procedures are not fully standardized or evidenced</t>
  </si>
  <si>
    <t>Azure Backup; storage controls; monitoring</t>
  </si>
  <si>
    <t>NCS-R-004</t>
  </si>
  <si>
    <t>Insufficient monitoring or alerting may delay detection of security incidents.</t>
  </si>
  <si>
    <t>NCS-A-008</t>
  </si>
  <si>
    <t>Security incident or malicious activity</t>
  </si>
  <si>
    <t>Monitoring coverage and alert review procedures are not consistently documented</t>
  </si>
  <si>
    <t>Microsoft Sentinel; Azure Monitor; centralized logging</t>
  </si>
  <si>
    <t>NCS-R-005</t>
  </si>
  <si>
    <t>Unauthorized disclosure of confidential information may occur through inappropriate handling or sharing.</t>
  </si>
  <si>
    <t>NCS-A-001</t>
  </si>
  <si>
    <t>Information disclosure</t>
  </si>
  <si>
    <t>Information handling practices are not consistently documented across business processes</t>
  </si>
  <si>
    <t>Information classification scheme; access controls; RBAC</t>
  </si>
  <si>
    <t>NCS-R-006</t>
  </si>
  <si>
    <t>Security weaknesses in application source code could be introduced into production.</t>
  </si>
  <si>
    <t>NCS-A-002 / NCS-A-009</t>
  </si>
  <si>
    <t>Malicious or vulnerable code change</t>
  </si>
  <si>
    <t>Secure development and code review requirements are not fully documented</t>
  </si>
  <si>
    <t>GitHub Enterprise; separate environments; access restrictions</t>
  </si>
  <si>
    <t>NCS-R-007</t>
  </si>
  <si>
    <t>A prolonged Azure service disruption could affect the availability of the SaaS platform.</t>
  </si>
  <si>
    <t>NCS-A-003 / NCS-A-002</t>
  </si>
  <si>
    <t>Cloud service outage</t>
  </si>
  <si>
    <t>Business continuity and recovery requirements are not fully documented for all critical services</t>
  </si>
  <si>
    <t>Azure availability features; backup; separate environments</t>
  </si>
  <si>
    <t>NCS-R-008</t>
  </si>
  <si>
    <t>Incomplete audit evidence could prevent timely demonstration of control operation.</t>
  </si>
  <si>
    <t>NCS-A-004 / NCS-A-008</t>
  </si>
  <si>
    <t>Audit or certification review</t>
  </si>
  <si>
    <t>Evidence ownership, storage and retention are not standardized</t>
  </si>
  <si>
    <t>Microsoft Sentinel; Microsoft 365; internal documentation</t>
  </si>
  <si>
    <t>NCS-R-009</t>
  </si>
  <si>
    <t>Inactive or outdated user accounts may remain enabled longer than required.</t>
  </si>
  <si>
    <t>Unauthorized use of dormant account</t>
  </si>
  <si>
    <t>Account lifecycle and periodic review evidence is inconsistent</t>
  </si>
  <si>
    <t>Entra ID; MFA; account reviews</t>
  </si>
  <si>
    <t>NCS-R-010</t>
  </si>
  <si>
    <t>Failure to maintain current security and compliance documentation could lead to control gaps.</t>
  </si>
  <si>
    <t>Governance or compliance failure</t>
  </si>
  <si>
    <t>Policies, procedures and control documentation are not consistently maintained</t>
  </si>
  <si>
    <t>Security &amp; Compliance function; internal policies; periodic reviews</t>
  </si>
  <si>
    <t>NCS-R-011</t>
  </si>
  <si>
    <t>Loss of access to critical encryption keys could affect protected data and service operation.</t>
  </si>
  <si>
    <t>NCS-A-007</t>
  </si>
  <si>
    <t>Key deletion, compromise or unavailability</t>
  </si>
  <si>
    <t>Key management procedures and recovery arrangements are not fully evidenced</t>
  </si>
  <si>
    <t>Azure Key Vault; access controls; monitoring</t>
  </si>
  <si>
    <t>NCS-R-012</t>
  </si>
  <si>
    <t>External or customer-facing integrations may introduce uncontrolled security dependencies.</t>
  </si>
  <si>
    <t>NCS-A-002</t>
  </si>
  <si>
    <t>Third-party compromise or integration failure</t>
  </si>
  <si>
    <t>Third-party security requirements and dependency reviews are not consistently documented</t>
  </si>
  <si>
    <t>Network controls; RBAC; monitoring; contractual requirements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</si>
</sst>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1.0"/>
      <color rgb="FF000000"/>
      <name val="Carlito"/>
      <scheme val="minor"/>
    </font>
    <font>
      <b/>
      <color rgb="FFFFFFFF"/>
      <name val="Carlito"/>
    </font>
    <font>
      <color theme="1"/>
      <name val="Carlito"/>
      <scheme val="minor"/>
    </font>
    <font>
      <b/>
      <sz val="16.0"/>
      <color rgb="FFFFFFFF"/>
      <name val="Carlito"/>
    </font>
    <font>
      <i/>
      <sz val="11.0"/>
      <color rgb="FF1F1F1F"/>
      <name val="Carlito"/>
    </font>
    <font>
      <sz val="11.0"/>
      <color theme="1"/>
      <name val="Carlito"/>
    </font>
    <font>
      <b/>
      <sz val="11.0"/>
      <color rgb="FF1F1F1F"/>
      <name val="Carlito"/>
    </font>
    <font>
      <sz val="11.0"/>
      <color rgb="FF1F1F1F"/>
      <name val="Carlito"/>
    </font>
    <font>
      <b/>
      <sz val="11.0"/>
      <color theme="1"/>
      <name val="Carlito"/>
    </font>
  </fonts>
  <fills count="8">
    <fill>
      <patternFill patternType="none"/>
    </fill>
    <fill>
      <patternFill patternType="lightGray"/>
    </fill>
    <fill>
      <patternFill patternType="solid">
        <fgColor rgb="FF5B9BD5"/>
        <bgColor rgb="FF5B9BD5"/>
      </patternFill>
    </fill>
    <fill>
      <patternFill patternType="solid">
        <fgColor rgb="FF1F4E78"/>
        <bgColor rgb="FF1F4E78"/>
      </patternFill>
    </fill>
    <fill>
      <patternFill patternType="solid">
        <fgColor rgb="FFD9EAF7"/>
        <bgColor rgb="FFD9EAF7"/>
      </patternFill>
    </fill>
    <fill>
      <patternFill patternType="solid">
        <fgColor rgb="FFEAF2F8"/>
        <bgColor rgb="FFEAF2F8"/>
      </patternFill>
    </fill>
    <fill>
      <patternFill patternType="solid">
        <fgColor rgb="FFC6E0F0"/>
        <bgColor rgb="FFC6E0F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/>
    </xf>
    <xf borderId="0" fillId="0" fontId="2" numFmtId="0" xfId="0" applyAlignment="1" applyFont="1">
      <alignment horizontal="left"/>
    </xf>
    <xf borderId="0" fillId="3" fontId="3" numFmtId="0" xfId="0" applyAlignment="1" applyFill="1" applyFont="1">
      <alignment horizontal="left" shrinkToFit="0" vertical="center" wrapText="1"/>
    </xf>
    <xf borderId="0" fillId="4" fontId="4" numFmtId="0" xfId="0" applyAlignment="1" applyFill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0" fillId="5" fontId="6" numFmtId="0" xfId="0" applyAlignment="1" applyFill="1" applyFont="1">
      <alignment shrinkToFit="0" vertical="center" wrapText="1"/>
    </xf>
    <xf borderId="0" fillId="0" fontId="7" numFmtId="0" xfId="0" applyAlignment="1" applyFont="1">
      <alignment shrinkToFit="0" vertical="center" wrapText="1"/>
    </xf>
    <xf borderId="0" fillId="2" fontId="8" numFmtId="0" xfId="0" applyAlignment="1" applyFill="1" applyFont="1">
      <alignment horizontal="center" readingOrder="0" shrinkToFit="0" vertical="center" wrapText="1"/>
    </xf>
    <xf borderId="0" fillId="2" fontId="2" numFmtId="0" xfId="0" applyFill="1" applyFont="1"/>
    <xf borderId="0" fillId="6" fontId="7" numFmtId="0" xfId="0" applyAlignment="1" applyFill="1" applyFont="1">
      <alignment shrinkToFit="0" vertical="top" wrapText="1"/>
    </xf>
    <xf borderId="0" fillId="6" fontId="7" numFmtId="1" xfId="0" applyAlignment="1" applyFill="1" applyFont="1" applyNumberFormat="1">
      <alignment shrinkToFit="0" vertical="top" wrapText="1"/>
    </xf>
    <xf borderId="0" fillId="6" fontId="7" numFmtId="1" xfId="0" applyAlignment="1" applyFill="1" applyFont="1" applyNumberFormat="1">
      <alignment shrinkToFit="0" vertical="top" wrapText="1"/>
    </xf>
    <xf borderId="0" fillId="6" fontId="7" numFmtId="0" xfId="0" applyAlignment="1" applyFill="1" applyFont="1">
      <alignment shrinkToFit="0" vertical="top" wrapText="1"/>
    </xf>
    <xf borderId="0" fillId="7" fontId="7" numFmtId="0" xfId="0" applyAlignment="1" applyFill="1" applyFont="1">
      <alignment shrinkToFit="0" vertical="top" wrapText="1"/>
    </xf>
    <xf borderId="0" fillId="7" fontId="7" numFmtId="1" xfId="0" applyAlignment="1" applyFill="1" applyFont="1" applyNumberFormat="1">
      <alignment shrinkToFit="0" vertical="top" wrapText="1"/>
    </xf>
    <xf borderId="0" fillId="7" fontId="7" numFmtId="1" xfId="0" applyAlignment="1" applyFill="1" applyFont="1" applyNumberFormat="1">
      <alignment shrinkToFit="0" vertical="top" wrapText="1"/>
    </xf>
    <xf borderId="0" fillId="7" fontId="7" numFmtId="0" xfId="0" applyAlignment="1" applyFill="1" applyFont="1">
      <alignment shrinkToFit="0" vertical="top" wrapText="1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  <dxf>
      <font/>
      <fill>
        <patternFill patternType="solid">
          <fgColor rgb="FFE2F0D9"/>
          <bgColor rgb="FFE2F0D9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CE4D6"/>
          <bgColor rgb="FFFCE4D6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</dxfs>
  <tableStyles count="1">
    <tableStyle count="4" pivot="0" name="Risk Register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9:M21" displayName="RiskRegister" name="RiskRegister" id="1">
  <tableColumns count="13">
    <tableColumn name="Risk ID" id="1"/>
    <tableColumn name="Risk Description" id="2"/>
    <tableColumn name="Asset" id="3"/>
    <tableColumn name="Threat" id="4"/>
    <tableColumn name="Vulnerability / Weakness" id="5"/>
    <tableColumn name="Existing Controls" id="6"/>
    <tableColumn name="Likelihood" id="7"/>
    <tableColumn name="Impact" id="8"/>
    <tableColumn name="Inherent Risk" id="9"/>
    <tableColumn name="Risk Owner" id="10"/>
    <tableColumn name="Treatment" id="11"/>
    <tableColumn name="Residual Risk" id="12"/>
    <tableColumn name="Status" id="13"/>
  </tableColumns>
  <tableStyleInfo name="Risk Register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3.0"/>
    <col customWidth="1" min="2" max="2" width="37.63"/>
    <col customWidth="1" min="3" max="3" width="24.0"/>
    <col customWidth="1" min="4" max="4" width="31.0"/>
    <col customWidth="1" min="5" max="6" width="36.0"/>
    <col customWidth="1" min="7" max="7" width="13.63"/>
    <col customWidth="1" min="8" max="8" width="11.75"/>
    <col customWidth="1" min="9" max="9" width="15.25"/>
    <col customWidth="1" min="10" max="10" width="29.0"/>
    <col customWidth="1" min="11" max="11" width="16.0"/>
    <col customWidth="1" min="12" max="12" width="15.13"/>
    <col customWidth="1" min="13" max="13" width="16.0"/>
    <col customWidth="1" min="14" max="26" width="8.63"/>
  </cols>
  <sheetData>
    <row r="1" ht="24.0" customHeight="1">
      <c r="A1" s="3" t="s">
        <v>28</v>
      </c>
    </row>
    <row r="2" ht="18.75" customHeight="1">
      <c r="A2" s="4" t="s">
        <v>29</v>
      </c>
    </row>
    <row r="3" ht="12.0" customHeight="1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ht="18.0" customHeight="1">
      <c r="A4" s="6" t="s">
        <v>30</v>
      </c>
      <c r="B4" s="7" t="s">
        <v>31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</row>
    <row r="5" ht="18.0" customHeight="1">
      <c r="A5" s="6" t="s">
        <v>32</v>
      </c>
      <c r="B5" s="7" t="s">
        <v>33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</row>
    <row r="6" ht="18.0" customHeight="1">
      <c r="A6" s="6" t="s">
        <v>34</v>
      </c>
      <c r="B6" s="7" t="s">
        <v>35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</row>
    <row r="7" ht="18.0" customHeight="1">
      <c r="A7" s="6" t="s">
        <v>4</v>
      </c>
      <c r="B7" s="7" t="s">
        <v>36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</row>
    <row r="8" ht="23.25" customHeight="1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</row>
    <row r="9" ht="33.75" customHeight="1">
      <c r="A9" s="8" t="s">
        <v>37</v>
      </c>
      <c r="B9" s="8" t="s">
        <v>38</v>
      </c>
      <c r="C9" s="8" t="s">
        <v>39</v>
      </c>
      <c r="D9" s="8" t="s">
        <v>40</v>
      </c>
      <c r="E9" s="8" t="s">
        <v>41</v>
      </c>
      <c r="F9" s="8" t="s">
        <v>42</v>
      </c>
      <c r="G9" s="8" t="s">
        <v>0</v>
      </c>
      <c r="H9" s="8" t="s">
        <v>1</v>
      </c>
      <c r="I9" s="8" t="s">
        <v>43</v>
      </c>
      <c r="J9" s="8" t="s">
        <v>2</v>
      </c>
      <c r="K9" s="8" t="s">
        <v>3</v>
      </c>
      <c r="L9" s="8" t="s">
        <v>44</v>
      </c>
      <c r="M9" s="8" t="s">
        <v>4</v>
      </c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ht="42.0" customHeight="1">
      <c r="A10" s="10" t="s">
        <v>45</v>
      </c>
      <c r="B10" s="10" t="s">
        <v>46</v>
      </c>
      <c r="C10" s="10" t="s">
        <v>47</v>
      </c>
      <c r="D10" s="10" t="s">
        <v>48</v>
      </c>
      <c r="E10" s="10" t="s">
        <v>49</v>
      </c>
      <c r="F10" s="10" t="s">
        <v>50</v>
      </c>
      <c r="G10" s="11">
        <v>3.0</v>
      </c>
      <c r="H10" s="11">
        <v>5.0</v>
      </c>
      <c r="I10" s="12">
        <f t="shared" ref="I10:I21" si="1">G10*H10</f>
        <v>15</v>
      </c>
      <c r="J10" s="13" t="s">
        <v>6</v>
      </c>
      <c r="K10" s="13" t="s">
        <v>7</v>
      </c>
      <c r="L10" s="12">
        <v>10.0</v>
      </c>
      <c r="M10" s="13" t="s">
        <v>8</v>
      </c>
    </row>
    <row r="11" ht="42.0" customHeight="1">
      <c r="A11" s="14" t="s">
        <v>51</v>
      </c>
      <c r="B11" s="14" t="s">
        <v>52</v>
      </c>
      <c r="C11" s="14" t="s">
        <v>53</v>
      </c>
      <c r="D11" s="14" t="s">
        <v>54</v>
      </c>
      <c r="E11" s="14" t="s">
        <v>55</v>
      </c>
      <c r="F11" s="14" t="s">
        <v>56</v>
      </c>
      <c r="G11" s="15">
        <v>3.0</v>
      </c>
      <c r="H11" s="15">
        <v>5.0</v>
      </c>
      <c r="I11" s="16">
        <f t="shared" si="1"/>
        <v>15</v>
      </c>
      <c r="J11" s="17" t="s">
        <v>6</v>
      </c>
      <c r="K11" s="17" t="s">
        <v>7</v>
      </c>
      <c r="L11" s="16">
        <v>10.0</v>
      </c>
      <c r="M11" s="17" t="s">
        <v>8</v>
      </c>
    </row>
    <row r="12" ht="42.0" customHeight="1">
      <c r="A12" s="10" t="s">
        <v>57</v>
      </c>
      <c r="B12" s="10" t="s">
        <v>58</v>
      </c>
      <c r="C12" s="10" t="s">
        <v>59</v>
      </c>
      <c r="D12" s="10" t="s">
        <v>60</v>
      </c>
      <c r="E12" s="10" t="s">
        <v>61</v>
      </c>
      <c r="F12" s="10" t="s">
        <v>62</v>
      </c>
      <c r="G12" s="11">
        <v>2.0</v>
      </c>
      <c r="H12" s="11">
        <v>5.0</v>
      </c>
      <c r="I12" s="12">
        <f t="shared" si="1"/>
        <v>10</v>
      </c>
      <c r="J12" s="13" t="s">
        <v>10</v>
      </c>
      <c r="K12" s="13" t="s">
        <v>7</v>
      </c>
      <c r="L12" s="12">
        <v>8.0</v>
      </c>
      <c r="M12" s="13" t="s">
        <v>8</v>
      </c>
    </row>
    <row r="13" ht="42.0" customHeight="1">
      <c r="A13" s="14" t="s">
        <v>63</v>
      </c>
      <c r="B13" s="14" t="s">
        <v>64</v>
      </c>
      <c r="C13" s="14" t="s">
        <v>65</v>
      </c>
      <c r="D13" s="14" t="s">
        <v>66</v>
      </c>
      <c r="E13" s="14" t="s">
        <v>67</v>
      </c>
      <c r="F13" s="14" t="s">
        <v>68</v>
      </c>
      <c r="G13" s="15">
        <v>3.0</v>
      </c>
      <c r="H13" s="15">
        <v>4.0</v>
      </c>
      <c r="I13" s="16">
        <f t="shared" si="1"/>
        <v>12</v>
      </c>
      <c r="J13" s="17" t="s">
        <v>18</v>
      </c>
      <c r="K13" s="17" t="s">
        <v>7</v>
      </c>
      <c r="L13" s="16">
        <v>6.0</v>
      </c>
      <c r="M13" s="17" t="s">
        <v>8</v>
      </c>
    </row>
    <row r="14" ht="42.0" customHeight="1">
      <c r="A14" s="10" t="s">
        <v>69</v>
      </c>
      <c r="B14" s="10" t="s">
        <v>70</v>
      </c>
      <c r="C14" s="10" t="s">
        <v>71</v>
      </c>
      <c r="D14" s="10" t="s">
        <v>72</v>
      </c>
      <c r="E14" s="10" t="s">
        <v>73</v>
      </c>
      <c r="F14" s="10" t="s">
        <v>74</v>
      </c>
      <c r="G14" s="11">
        <v>3.0</v>
      </c>
      <c r="H14" s="11">
        <v>4.0</v>
      </c>
      <c r="I14" s="12">
        <f t="shared" si="1"/>
        <v>12</v>
      </c>
      <c r="J14" s="13" t="s">
        <v>6</v>
      </c>
      <c r="K14" s="13" t="s">
        <v>7</v>
      </c>
      <c r="L14" s="12">
        <v>6.0</v>
      </c>
      <c r="M14" s="13" t="s">
        <v>8</v>
      </c>
    </row>
    <row r="15" ht="42.0" customHeight="1">
      <c r="A15" s="14" t="s">
        <v>75</v>
      </c>
      <c r="B15" s="14" t="s">
        <v>76</v>
      </c>
      <c r="C15" s="14" t="s">
        <v>77</v>
      </c>
      <c r="D15" s="14" t="s">
        <v>78</v>
      </c>
      <c r="E15" s="14" t="s">
        <v>79</v>
      </c>
      <c r="F15" s="14" t="s">
        <v>80</v>
      </c>
      <c r="G15" s="15">
        <v>3.0</v>
      </c>
      <c r="H15" s="15">
        <v>4.0</v>
      </c>
      <c r="I15" s="16">
        <f t="shared" si="1"/>
        <v>12</v>
      </c>
      <c r="J15" s="17" t="s">
        <v>21</v>
      </c>
      <c r="K15" s="17" t="s">
        <v>7</v>
      </c>
      <c r="L15" s="16">
        <v>8.0</v>
      </c>
      <c r="M15" s="17" t="s">
        <v>8</v>
      </c>
    </row>
    <row r="16" ht="42.0" customHeight="1">
      <c r="A16" s="10" t="s">
        <v>81</v>
      </c>
      <c r="B16" s="10" t="s">
        <v>82</v>
      </c>
      <c r="C16" s="10" t="s">
        <v>83</v>
      </c>
      <c r="D16" s="10" t="s">
        <v>84</v>
      </c>
      <c r="E16" s="10" t="s">
        <v>85</v>
      </c>
      <c r="F16" s="10" t="s">
        <v>86</v>
      </c>
      <c r="G16" s="11">
        <v>2.0</v>
      </c>
      <c r="H16" s="11">
        <v>5.0</v>
      </c>
      <c r="I16" s="12">
        <f t="shared" si="1"/>
        <v>10</v>
      </c>
      <c r="J16" s="13" t="s">
        <v>14</v>
      </c>
      <c r="K16" s="13" t="s">
        <v>7</v>
      </c>
      <c r="L16" s="12">
        <v>6.0</v>
      </c>
      <c r="M16" s="13" t="s">
        <v>8</v>
      </c>
    </row>
    <row r="17" ht="42.0" customHeight="1">
      <c r="A17" s="14" t="s">
        <v>87</v>
      </c>
      <c r="B17" s="14" t="s">
        <v>88</v>
      </c>
      <c r="C17" s="14" t="s">
        <v>89</v>
      </c>
      <c r="D17" s="14" t="s">
        <v>90</v>
      </c>
      <c r="E17" s="14" t="s">
        <v>91</v>
      </c>
      <c r="F17" s="14" t="s">
        <v>92</v>
      </c>
      <c r="G17" s="15">
        <v>4.0</v>
      </c>
      <c r="H17" s="15">
        <v>3.0</v>
      </c>
      <c r="I17" s="16">
        <f t="shared" si="1"/>
        <v>12</v>
      </c>
      <c r="J17" s="17" t="s">
        <v>6</v>
      </c>
      <c r="K17" s="17" t="s">
        <v>7</v>
      </c>
      <c r="L17" s="16">
        <v>6.0</v>
      </c>
      <c r="M17" s="17" t="s">
        <v>8</v>
      </c>
    </row>
    <row r="18" ht="42.0" customHeight="1">
      <c r="A18" s="10" t="s">
        <v>93</v>
      </c>
      <c r="B18" s="10" t="s">
        <v>94</v>
      </c>
      <c r="C18" s="10" t="s">
        <v>53</v>
      </c>
      <c r="D18" s="10" t="s">
        <v>95</v>
      </c>
      <c r="E18" s="10" t="s">
        <v>96</v>
      </c>
      <c r="F18" s="10" t="s">
        <v>97</v>
      </c>
      <c r="G18" s="11">
        <v>3.0</v>
      </c>
      <c r="H18" s="11">
        <v>4.0</v>
      </c>
      <c r="I18" s="12">
        <f t="shared" si="1"/>
        <v>12</v>
      </c>
      <c r="J18" s="13" t="s">
        <v>10</v>
      </c>
      <c r="K18" s="13" t="s">
        <v>7</v>
      </c>
      <c r="L18" s="12">
        <v>6.0</v>
      </c>
      <c r="M18" s="13" t="s">
        <v>8</v>
      </c>
    </row>
    <row r="19" ht="42.0" customHeight="1">
      <c r="A19" s="14" t="s">
        <v>98</v>
      </c>
      <c r="B19" s="14" t="s">
        <v>99</v>
      </c>
      <c r="C19" s="14" t="s">
        <v>89</v>
      </c>
      <c r="D19" s="14" t="s">
        <v>100</v>
      </c>
      <c r="E19" s="14" t="s">
        <v>101</v>
      </c>
      <c r="F19" s="14" t="s">
        <v>102</v>
      </c>
      <c r="G19" s="15">
        <v>4.0</v>
      </c>
      <c r="H19" s="15">
        <v>3.0</v>
      </c>
      <c r="I19" s="16">
        <f t="shared" si="1"/>
        <v>12</v>
      </c>
      <c r="J19" s="17" t="s">
        <v>6</v>
      </c>
      <c r="K19" s="17" t="s">
        <v>7</v>
      </c>
      <c r="L19" s="16">
        <v>6.0</v>
      </c>
      <c r="M19" s="17" t="s">
        <v>8</v>
      </c>
    </row>
    <row r="20" ht="42.0" customHeight="1">
      <c r="A20" s="10" t="s">
        <v>103</v>
      </c>
      <c r="B20" s="10" t="s">
        <v>104</v>
      </c>
      <c r="C20" s="10" t="s">
        <v>105</v>
      </c>
      <c r="D20" s="10" t="s">
        <v>106</v>
      </c>
      <c r="E20" s="10" t="s">
        <v>107</v>
      </c>
      <c r="F20" s="10" t="s">
        <v>108</v>
      </c>
      <c r="G20" s="11">
        <v>2.0</v>
      </c>
      <c r="H20" s="11">
        <v>5.0</v>
      </c>
      <c r="I20" s="12">
        <f t="shared" si="1"/>
        <v>10</v>
      </c>
      <c r="J20" s="13" t="s">
        <v>6</v>
      </c>
      <c r="K20" s="13" t="s">
        <v>7</v>
      </c>
      <c r="L20" s="12">
        <v>5.0</v>
      </c>
      <c r="M20" s="13" t="s">
        <v>8</v>
      </c>
    </row>
    <row r="21" ht="42.0" customHeight="1">
      <c r="A21" s="14" t="s">
        <v>109</v>
      </c>
      <c r="B21" s="14" t="s">
        <v>110</v>
      </c>
      <c r="C21" s="14" t="s">
        <v>111</v>
      </c>
      <c r="D21" s="14" t="s">
        <v>112</v>
      </c>
      <c r="E21" s="14" t="s">
        <v>113</v>
      </c>
      <c r="F21" s="14" t="s">
        <v>114</v>
      </c>
      <c r="G21" s="15">
        <v>3.0</v>
      </c>
      <c r="H21" s="15">
        <v>4.0</v>
      </c>
      <c r="I21" s="16">
        <f t="shared" si="1"/>
        <v>12</v>
      </c>
      <c r="J21" s="17" t="s">
        <v>6</v>
      </c>
      <c r="K21" s="17" t="s">
        <v>7</v>
      </c>
      <c r="L21" s="16">
        <v>8.0</v>
      </c>
      <c r="M21" s="17" t="s">
        <v>8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M1"/>
    <mergeCell ref="A2:M2"/>
  </mergeCells>
  <conditionalFormatting sqref="I2:I13">
    <cfRule type="colorScale" priority="1">
      <colorScale>
        <cfvo type="min"/>
        <cfvo type="percentile" val="50"/>
        <cfvo type="max"/>
        <color rgb="FFDCFCE7"/>
        <color rgb="FFFEF3C7"/>
        <color rgb="FFFECACA"/>
      </colorScale>
    </cfRule>
  </conditionalFormatting>
  <conditionalFormatting sqref="L2:L13">
    <cfRule type="colorScale" priority="2">
      <colorScale>
        <cfvo type="min"/>
        <cfvo type="percentile" val="50"/>
        <cfvo type="max"/>
        <color rgb="FFDCFCE7"/>
        <color rgb="FFFEF3C7"/>
        <color rgb="FFFECACA"/>
      </colorScale>
    </cfRule>
  </conditionalFormatting>
  <conditionalFormatting sqref="I10:I21">
    <cfRule type="cellIs" dxfId="5" priority="3" operator="lessThan">
      <formula>5</formula>
    </cfRule>
  </conditionalFormatting>
  <conditionalFormatting sqref="I10:I21">
    <cfRule type="cellIs" dxfId="6" priority="4" operator="between">
      <formula>5</formula>
      <formula>9</formula>
    </cfRule>
  </conditionalFormatting>
  <conditionalFormatting sqref="I10:I21">
    <cfRule type="cellIs" dxfId="7" priority="5" operator="between">
      <formula>10</formula>
      <formula>16</formula>
    </cfRule>
  </conditionalFormatting>
  <conditionalFormatting sqref="I10:I21">
    <cfRule type="cellIs" dxfId="8" priority="6" operator="greaterThan">
      <formula>16</formula>
    </cfRule>
  </conditionalFormatting>
  <conditionalFormatting sqref="L10:L21">
    <cfRule type="cellIs" dxfId="5" priority="7" operator="lessThan">
      <formula>5</formula>
    </cfRule>
  </conditionalFormatting>
  <conditionalFormatting sqref="L10:L21">
    <cfRule type="cellIs" dxfId="6" priority="8" operator="between">
      <formula>5</formula>
      <formula>9</formula>
    </cfRule>
  </conditionalFormatting>
  <conditionalFormatting sqref="L10:L21">
    <cfRule type="cellIs" dxfId="7" priority="9" operator="between">
      <formula>10</formula>
      <formula>16</formula>
    </cfRule>
  </conditionalFormatting>
  <conditionalFormatting sqref="L10:L21">
    <cfRule type="cellIs" dxfId="8" priority="10" operator="greaterThan">
      <formula>16</formula>
    </cfRule>
  </conditionalFormatting>
  <dataValidations>
    <dataValidation type="list" allowBlank="1" sqref="G10:H21 J10:K21 M10:M21">
      <formula1>#REF!</formula1>
    </dataValidation>
    <dataValidation type="custom" allowBlank="1" showDropDown="1" sqref="I10:I21 L10:L21">
      <formula1>AND(ISNUMBER(I10),(NOT(OR(NOT(ISERROR(DATEVALUE(I10))), AND(ISNUMBER(I10), LEFT(CELL("format", I10))="D")))))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14.0"/>
    <col customWidth="1" min="3" max="3" width="30.0"/>
    <col customWidth="1" min="4" max="6" width="14.0"/>
    <col customWidth="1" min="7" max="26" width="8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2">
        <v>1.0</v>
      </c>
      <c r="B2" s="2">
        <v>1.0</v>
      </c>
      <c r="C2" s="2" t="s">
        <v>6</v>
      </c>
      <c r="D2" s="2" t="s">
        <v>7</v>
      </c>
      <c r="E2" s="2" t="s">
        <v>8</v>
      </c>
      <c r="F2" s="2" t="s">
        <v>9</v>
      </c>
    </row>
    <row r="3">
      <c r="A3" s="2">
        <v>2.0</v>
      </c>
      <c r="B3" s="2">
        <v>2.0</v>
      </c>
      <c r="C3" s="2" t="s">
        <v>10</v>
      </c>
      <c r="D3" s="2" t="s">
        <v>11</v>
      </c>
      <c r="E3" s="2" t="s">
        <v>12</v>
      </c>
      <c r="F3" s="2" t="s">
        <v>13</v>
      </c>
    </row>
    <row r="4">
      <c r="A4" s="2">
        <v>3.0</v>
      </c>
      <c r="B4" s="2">
        <v>3.0</v>
      </c>
      <c r="C4" s="2" t="s">
        <v>14</v>
      </c>
      <c r="D4" s="2" t="s">
        <v>15</v>
      </c>
      <c r="E4" s="2" t="s">
        <v>16</v>
      </c>
      <c r="F4" s="2" t="s">
        <v>17</v>
      </c>
    </row>
    <row r="5">
      <c r="A5" s="2">
        <v>4.0</v>
      </c>
      <c r="B5" s="2">
        <v>4.0</v>
      </c>
      <c r="C5" s="2" t="s">
        <v>18</v>
      </c>
      <c r="D5" s="2" t="s">
        <v>19</v>
      </c>
      <c r="E5" s="2"/>
      <c r="F5" s="2" t="s">
        <v>20</v>
      </c>
    </row>
    <row r="6">
      <c r="A6" s="2">
        <v>5.0</v>
      </c>
      <c r="B6" s="2">
        <v>5.0</v>
      </c>
      <c r="C6" s="2" t="s">
        <v>21</v>
      </c>
      <c r="D6" s="2"/>
      <c r="E6" s="2"/>
      <c r="F6" s="2"/>
    </row>
    <row r="7">
      <c r="A7" s="2"/>
      <c r="B7" s="2"/>
      <c r="C7" s="2" t="s">
        <v>22</v>
      </c>
      <c r="D7" s="2"/>
      <c r="E7" s="2"/>
      <c r="F7" s="2"/>
    </row>
    <row r="8">
      <c r="A8" s="2"/>
      <c r="B8" s="2"/>
      <c r="C8" s="2" t="s">
        <v>23</v>
      </c>
      <c r="D8" s="2"/>
      <c r="E8" s="2"/>
      <c r="F8" s="2"/>
    </row>
    <row r="9">
      <c r="A9" s="2"/>
      <c r="B9" s="2"/>
      <c r="C9" s="2" t="s">
        <v>24</v>
      </c>
      <c r="D9" s="2"/>
      <c r="E9" s="2"/>
      <c r="F9" s="2"/>
    </row>
    <row r="10">
      <c r="A10" s="2"/>
      <c r="B10" s="2"/>
      <c r="C10" s="2" t="s">
        <v>25</v>
      </c>
      <c r="D10" s="2"/>
      <c r="E10" s="2"/>
      <c r="F10" s="2"/>
    </row>
    <row r="11">
      <c r="A11" s="2"/>
      <c r="B11" s="2"/>
      <c r="C11" s="2" t="s">
        <v>26</v>
      </c>
      <c r="D11" s="2"/>
      <c r="E11" s="2"/>
      <c r="F11" s="2"/>
    </row>
    <row r="12">
      <c r="A12" s="2"/>
      <c r="B12" s="2"/>
      <c r="C12" s="2" t="s">
        <v>27</v>
      </c>
      <c r="D12" s="2"/>
      <c r="E12" s="2"/>
      <c r="F12" s="2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